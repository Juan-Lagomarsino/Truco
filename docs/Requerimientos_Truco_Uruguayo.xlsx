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rimientos" sheetId="1" state="visible" r:id="rId3"/>
    <sheet name="Resumen" sheetId="2" state="visible" r:id="rId4"/>
  </sheets>
  <definedNames>
    <definedName function="false" hidden="true" localSheetId="0" name="_xlnm._FilterDatabase" vbProcedure="false">Requerimientos!$A$4:$G$77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<sst xmlns="http://schemas.openxmlformats.org/spreadsheetml/2006/main" count="379" uniqueCount="237">
  <si>
    <t xml:space="preserve">Truco Uruguayo — Planilla de requerimientos</t>
  </si>
  <si>
    <t xml:space="preserve">Estado del dominio /core al 2026-08-28 · último commit 2026-08-09 · columna Prompt: copiar/pegar en Claude Code (parado en la raíz del repo) para implementar lo que falta</t>
  </si>
  <si>
    <t xml:space="preserve">ID</t>
  </si>
  <si>
    <t xml:space="preserve">Categoría</t>
  </si>
  <si>
    <t xml:space="preserve">Requerimiento</t>
  </si>
  <si>
    <t xml:space="preserve">Estado</t>
  </si>
  <si>
    <t xml:space="preserve">Evidencia / Tests</t>
  </si>
  <si>
    <t xml:space="preserve">Notas</t>
  </si>
  <si>
    <t xml:space="preserve">Prompt para Claude Code</t>
  </si>
  <si>
    <t xml:space="preserve">A · Mazo, cartas y reparto</t>
  </si>
  <si>
    <t xml:space="preserve">A1</t>
  </si>
  <si>
    <t xml:space="preserve">A</t>
  </si>
  <si>
    <t xml:space="preserve">Mazo español de 40 cartas (sin 8 ni 9), 10 por palo, sin duplicados</t>
  </si>
  <si>
    <t xml:space="preserve">✅ Hecho</t>
  </si>
  <si>
    <t xml:space="preserve">MazoTests</t>
  </si>
  <si>
    <t xml:space="preserve">A2</t>
  </si>
  <si>
    <t xml:space="preserve">Modelo Carta = (Número, Palo) con validación de rango</t>
  </si>
  <si>
    <t xml:space="preserve">CartaTests</t>
  </si>
  <si>
    <t xml:space="preserve">A3</t>
  </si>
  <si>
    <t xml:space="preserve">Barajado determinista con semilla inyectada por constructor</t>
  </si>
  <si>
    <t xml:space="preserve">BarajadorTests</t>
  </si>
  <si>
    <t xml:space="preserve">Regla dura de /core</t>
  </si>
  <si>
    <t xml:space="preserve">A4</t>
  </si>
  <si>
    <t xml:space="preserve">Cortar el mazo preservando las 40 cartas</t>
  </si>
  <si>
    <t xml:space="preserve">A5</t>
  </si>
  <si>
    <t xml:space="preserve">Reparto de 3 cartas por jugador (round-robin)</t>
  </si>
  <si>
    <t xml:space="preserve">Convención O1; reproducir visual en Unity</t>
  </si>
  <si>
    <t xml:space="preserve">A6</t>
  </si>
  <si>
    <t xml:space="preserve">Rotación del repartidor y del mano por reparto</t>
  </si>
  <si>
    <t xml:space="preserve">PartidoTests</t>
  </si>
  <si>
    <t xml:space="preserve">Decisión D1</t>
  </si>
  <si>
    <t xml:space="preserve">B · Muestra y jerarquía</t>
  </si>
  <si>
    <t xml:space="preserve">B1</t>
  </si>
  <si>
    <t xml:space="preserve">B</t>
  </si>
  <si>
    <t xml:space="preserve">La muestra define el palo de las piezas</t>
  </si>
  <si>
    <t xml:space="preserve">MuestraTests</t>
  </si>
  <si>
    <t xml:space="preserve">B2</t>
  </si>
  <si>
    <t xml:space="preserve">Detección de si la muestra es pieza</t>
  </si>
  <si>
    <t xml:space="preserve">B3</t>
  </si>
  <si>
    <t xml:space="preserve">Jerarquía completa: 19 niveles estrictamente decrecientes</t>
  </si>
  <si>
    <t xml:space="preserve">JerarquiaTests</t>
  </si>
  <si>
    <t xml:space="preserve">B4</t>
  </si>
  <si>
    <t xml:space="preserve">Las 5 piezas por encima de las matas</t>
  </si>
  <si>
    <t xml:space="preserve">B5</t>
  </si>
  <si>
    <t xml:space="preserve">12 espejo: copia la pieza de la muestra (fuerza y valor)</t>
  </si>
  <si>
    <t xml:space="preserve">JerarquiaTests, TantosTests</t>
  </si>
  <si>
    <t xml:space="preserve">Decisión C1</t>
  </si>
  <si>
    <t xml:space="preserve">B6</t>
  </si>
  <si>
    <t xml:space="preserve">Las 40 cartas tienen fuerza para cualquier muestra</t>
  </si>
  <si>
    <t xml:space="preserve">C · Resolución de mano y baza</t>
  </si>
  <si>
    <t xml:space="preserve">C1</t>
  </si>
  <si>
    <t xml:space="preserve">C</t>
  </si>
  <si>
    <t xml:space="preserve">Baza: gana la más fuerte; parda en empate entre equipos</t>
  </si>
  <si>
    <t xml:space="preserve">BazaTests</t>
  </si>
  <si>
    <t xml:space="preserve">C2</t>
  </si>
  <si>
    <t xml:space="preserve">Mano al mejor de 3 bazas, con todos los casos de parda</t>
  </si>
  <si>
    <t xml:space="preserve">ManoTests</t>
  </si>
  <si>
    <t xml:space="preserve">C3</t>
  </si>
  <si>
    <t xml:space="preserve">Quién abre la baza siguiente (ganador / mano tras parda)</t>
  </si>
  <si>
    <t xml:space="preserve">Decisiones D2, G1</t>
  </si>
  <si>
    <t xml:space="preserve">C4</t>
  </si>
  <si>
    <t xml:space="preserve">Contador de puntos al equipo: malas/buenas, largo, fin de partido</t>
  </si>
  <si>
    <t xml:space="preserve">ContadorTests</t>
  </si>
  <si>
    <t xml:space="preserve">D · Envido</t>
  </si>
  <si>
    <t xml:space="preserve">D1</t>
  </si>
  <si>
    <t xml:space="preserve">D</t>
  </si>
  <si>
    <t xml:space="preserve">Recuento del envido (piezas, dos del mismo palo, valor por carta)</t>
  </si>
  <si>
    <t xml:space="preserve">EnvidoTests, TantosTests</t>
  </si>
  <si>
    <t xml:space="preserve">D2</t>
  </si>
  <si>
    <t xml:space="preserve">Cantos: Envido, Real Envido, Falta Envido; reviros sin límite</t>
  </si>
  <si>
    <t xml:space="preserve">EnvidoCantoTests</t>
  </si>
  <si>
    <t xml:space="preserve">Decisión B2</t>
  </si>
  <si>
    <t xml:space="preserve">D3</t>
  </si>
  <si>
    <t xml:space="preserve">Querer / No querer y puntajes de cada caso</t>
  </si>
  <si>
    <t xml:space="preserve">D4</t>
  </si>
  <si>
    <t xml:space="preserve">Falta Envido contra el fin de las malas</t>
  </si>
  <si>
    <t xml:space="preserve">Decisión A4</t>
  </si>
  <si>
    <t xml:space="preserve">D5</t>
  </si>
  <si>
    <t xml:space="preserve">Envido sólo en la primera baza y por turno</t>
  </si>
  <si>
    <t xml:space="preserve">Decisiones A1, O2</t>
  </si>
  <si>
    <t xml:space="preserve">D6</t>
  </si>
  <si>
    <t xml:space="preserve">Desempate de envido: gana el mano</t>
  </si>
  <si>
    <t xml:space="preserve">Decisión B8</t>
  </si>
  <si>
    <t xml:space="preserve">E · Flor</t>
  </si>
  <si>
    <t xml:space="preserve">E1</t>
  </si>
  <si>
    <t xml:space="preserve">E</t>
  </si>
  <si>
    <t xml:space="preserve">Detección de flor (3 mismo palo, pieza+2, 2 piezas, 3 piezas)</t>
  </si>
  <si>
    <t xml:space="preserve">FlorTests</t>
  </si>
  <si>
    <t xml:space="preserve">E2</t>
  </si>
  <si>
    <t xml:space="preserve">Recuento de flor y precedencia (el recuento que da más)</t>
  </si>
  <si>
    <t xml:space="preserve">Decisión B1</t>
  </si>
  <si>
    <t xml:space="preserve">E3</t>
  </si>
  <si>
    <t xml:space="preserve">Cantos: La mía flor, Con Flor Envido, Contra Flor al Resto</t>
  </si>
  <si>
    <t xml:space="preserve">FlorCantoTests, FlorBidTests</t>
  </si>
  <si>
    <t xml:space="preserve">Decisión C2 (no existe 'Contra Flor' a secas)</t>
  </si>
  <si>
    <t xml:space="preserve">E4</t>
  </si>
  <si>
    <t xml:space="preserve">Cantar flor anula / cancela el envido</t>
  </si>
  <si>
    <t xml:space="preserve">FlorCantoTests</t>
  </si>
  <si>
    <t xml:space="preserve">Decisión F1</t>
  </si>
  <si>
    <t xml:space="preserve">E5</t>
  </si>
  <si>
    <t xml:space="preserve">Enfrentamiento de flores: gana la más alta / el mano</t>
  </si>
  <si>
    <t xml:space="preserve">Decisión F2</t>
  </si>
  <si>
    <t xml:space="preserve">E6</t>
  </si>
  <si>
    <t xml:space="preserve">Denuncia de flor escondida al cerrar la mano</t>
  </si>
  <si>
    <t xml:space="preserve">FlorDenunciaTests</t>
  </si>
  <si>
    <t xml:space="preserve">Decisión F3</t>
  </si>
  <si>
    <t xml:space="preserve">E7</t>
  </si>
  <si>
    <t xml:space="preserve">Acreditación diferida de la flor (flor→envido→truco)</t>
  </si>
  <si>
    <t xml:space="preserve">commit F4</t>
  </si>
  <si>
    <t xml:space="preserve">E8</t>
  </si>
  <si>
    <t xml:space="preserve">Flor por equipo: collera (2v2) y trillera (3v3)</t>
  </si>
  <si>
    <t xml:space="preserve">DosVsDosTests, TresVsTresTests</t>
  </si>
  <si>
    <t xml:space="preserve">Decisión G2</t>
  </si>
  <si>
    <t xml:space="preserve">F · Truco</t>
  </si>
  <si>
    <t xml:space="preserve">F1</t>
  </si>
  <si>
    <t xml:space="preserve">F</t>
  </si>
  <si>
    <t xml:space="preserve">Truco / Retruco / Vale Cuatro y quién puede revirar</t>
  </si>
  <si>
    <t xml:space="preserve">TrucoTests</t>
  </si>
  <si>
    <t xml:space="preserve">F2</t>
  </si>
  <si>
    <t xml:space="preserve">Querer / No querer y valor de la mano</t>
  </si>
  <si>
    <t xml:space="preserve">F3</t>
  </si>
  <si>
    <t xml:space="preserve">Orden de resolución: envido va antes que el truco</t>
  </si>
  <si>
    <t xml:space="preserve">Decisión B4</t>
  </si>
  <si>
    <t xml:space="preserve">F4</t>
  </si>
  <si>
    <t xml:space="preserve">No se puede tirar carta con un canto pendiente</t>
  </si>
  <si>
    <t xml:space="preserve">G · Irse al mazo</t>
  </si>
  <si>
    <t xml:space="preserve">G1</t>
  </si>
  <si>
    <t xml:space="preserve">G</t>
  </si>
  <si>
    <t xml:space="preserve">Irse al mazo sin cantos / con truco querido</t>
  </si>
  <si>
    <t xml:space="preserve">IrseAlMazoTests</t>
  </si>
  <si>
    <t xml:space="preserve">G2</t>
  </si>
  <si>
    <t xml:space="preserve">No se puede ir al mazo con un canto pendiente</t>
  </si>
  <si>
    <t xml:space="preserve">G3</t>
  </si>
  <si>
    <t xml:space="preserve">Irse al mazo en partidas de equipo</t>
  </si>
  <si>
    <t xml:space="preserve">Decisión B7</t>
  </si>
  <si>
    <t xml:space="preserve">H · Modos de juego</t>
  </si>
  <si>
    <t xml:space="preserve">H1</t>
  </si>
  <si>
    <t xml:space="preserve">H</t>
  </si>
  <si>
    <t xml:space="preserve">1v1 completo (todos los cantos + mazo)</t>
  </si>
  <si>
    <t xml:space="preserve">H2</t>
  </si>
  <si>
    <t xml:space="preserve">2v2: baza, envido y flor por equipo, collera</t>
  </si>
  <si>
    <t xml:space="preserve">DosVsDosTests</t>
  </si>
  <si>
    <t xml:space="preserve">H3</t>
  </si>
  <si>
    <t xml:space="preserve">3v3 redondilla</t>
  </si>
  <si>
    <t xml:space="preserve">TresVsTresTests</t>
  </si>
  <si>
    <t xml:space="preserve">H4</t>
  </si>
  <si>
    <t xml:space="preserve">Modo de a 6 — jugadores activos por mano (base)</t>
  </si>
  <si>
    <t xml:space="preserve">JugadoresActivosTests</t>
  </si>
  <si>
    <t xml:space="preserve">Paso 17b-1</t>
  </si>
  <si>
    <t xml:space="preserve">H5</t>
  </si>
  <si>
    <t xml:space="preserve">Modo de a 6 — schedule del ciclo redondilla↔pico</t>
  </si>
  <si>
    <t xml:space="preserve">ModoDeA6ScheduleTests</t>
  </si>
  <si>
    <t xml:space="preserve">Paso 17b-2</t>
  </si>
  <si>
    <t xml:space="preserve">H6</t>
  </si>
  <si>
    <t xml:space="preserve">Pico a pico: 3 manos de 1v1 secuenciales de un solo reparto</t>
  </si>
  <si>
    <t xml:space="preserve">⬜ Falta</t>
  </si>
  <si>
    <t xml:space="preserve">—</t>
  </si>
  <si>
    <t xml:space="preserve">Tarea del HANDOFF_PICO_A_PICO</t>
  </si>
  <si>
    <t xml:space="preserve">Vamos a implementar el JUEGO del pico a pico en el modo de a 6, en /core. Antes de escribir nada leé CLAUDE.md, docs/RULES_Afinadas.md completo, docs/PREGUNTAS_ABIERTAS.md (sobre todo B10 y las Notas de verificación), docs/notas/HANDOFF_PICO_A_PICO.md, y todo /core y /tests. La base ya está (17b-1 Activos, 17b-2 schedule). Un pico a pico son 3 manos de 1v1 en secuencia de un SOLO reparto (6 manos + muestra); mientras se juega un pico los otros esperan sin ver sus cartas. Parejas por asiento j vs j+3; con mano m los picos son (m,m+3),(m+1,m+4),(m+2,m+5) en ese orden, y el mano de cada pico es el jugador más bajo de la pareja. Puntos siempre al equipo (en el 1v1 el equipo es el jugador). El toggle 'los 3 a la vez' NO se implementa (O3). Reglas de trabajo: un sub-paso por vez, test xUnit que falla antes y pasa después, alcance SÓLO /core y /tests, /game y /server no se tocan. Ante una ambigüedad que no esté en RULES_Afinadas ni decidida en PREGUNTAS_ABIERTAS, PARÁ y preguntá (no elijas un default silencioso). Para build/test: export DOTNET_ROOT="$HOME/.dotnet"; export PATH="$HOME/.dotnet:$PATH"; dotnet test. Empezá confirmándome el plan (qué campos tocás en EstadoPartida y cómo se reparte y juega cada pico) ANTES de escribir código. Commit en español, imperativo, sin punto final, sin coautoría; no hagas push.</t>
  </si>
  <si>
    <t xml:space="preserve">H7</t>
  </si>
  <si>
    <t xml:space="preserve">Falta Envido = 6 y Contra Flor al Resto = 12 dentro del pico</t>
  </si>
  <si>
    <t xml:space="preserve">Paso 17b-3</t>
  </si>
  <si>
    <t xml:space="preserve">En /core, implementá el paso 17b-3: dentro del pico a pico del modo de a 6, la Falta Envido vale 6 fijo y la Contra Flor al Resto vale 12. Antes leé CLAUDE.md, docs/RULES_Afinadas.md, la decisión B10 de PREGUNTAS_ABIERTAS.md, y el cálculo actual de FaltaEnvido en /core (hoy se calcula contra el largo/la mitad). Test-first: un test que falle antes y pase después. Alcance sólo /core y /tests. Para build/test: export DOTNET_ROOT="$HOME/.dotnet"; export PATH="$HOME/.dotnet:$PATH"; dotnet test. Si algo no está en las reglas, pará y preguntá. Commit en español imperativo, sin punto final ni coautoría; no push.</t>
  </si>
  <si>
    <t xml:space="preserve">H8</t>
  </si>
  <si>
    <t xml:space="preserve">Transición a la mitad (terminar el estado en curso)</t>
  </si>
  <si>
    <t xml:space="preserve">🟡 En progreso</t>
  </si>
  <si>
    <t xml:space="preserve">Schedule cubierto; falta el juego del pico</t>
  </si>
  <si>
    <t xml:space="preserve">En /tests, agregá el paso 17b-4 (fuzz de a 6): un test de partida COMPLETA de 6 jugadores, estilo DosVsDosTests.UnaPartida2v2Completa pero de a 6 — una partida entera con redondillas y picos a pico alternados termina sin deadlock, con un solo equipo ganador y puntos que nunca decrecen. Requiere que el juego del pico a pico (H6) y la Falta 6 / Contra Flor 12 (H7) ya estén implementados. Antes leé CLAUDE.md, la decisión B10, JugadoresActivosTests y ModoDeA6ScheduleTests. Para build/test: export DOTNET_ROOT="$HOME/.dotnet"; export PATH="$HOME/.dotnet:$PATH"; dotnet test. Commit en español imperativo, sin punto final ni coautoría; no push.</t>
  </si>
  <si>
    <t xml:space="preserve">H9</t>
  </si>
  <si>
    <t xml:space="preserve">Toggle 'jugar los 3 picos a la vez'</t>
  </si>
  <si>
    <t xml:space="preserve">⏸ Fase futura</t>
  </si>
  <si>
    <t xml:space="preserve">Idea de diseño O3, no se implementa por ahora</t>
  </si>
  <si>
    <t xml:space="preserve">I · Arquitectura /core</t>
  </si>
  <si>
    <t xml:space="preserve">I1</t>
  </si>
  <si>
    <t xml:space="preserve">I</t>
  </si>
  <si>
    <t xml:space="preserve">Reductor puro: EstadoPartida / AccionesLegales / Aplicar</t>
  </si>
  <si>
    <t xml:space="preserve">I2</t>
  </si>
  <si>
    <t xml:space="preserve">Determinismo: misma semilla = mismo reparto</t>
  </si>
  <si>
    <t xml:space="preserve">PartidoTests, BarajadorTests</t>
  </si>
  <si>
    <t xml:space="preserve">I3</t>
  </si>
  <si>
    <t xml:space="preserve">EstadoPartida inmutable y serializable (record)</t>
  </si>
  <si>
    <t xml:space="preserve">core/EstadoPartida.cs</t>
  </si>
  <si>
    <t xml:space="preserve">I4</t>
  </si>
  <si>
    <t xml:space="preserve">Reglas duras: sin Random sin semilla / DateTime / IO / UnityEngine / estático</t>
  </si>
  <si>
    <t xml:space="preserve">convención</t>
  </si>
  <si>
    <t xml:space="preserve">No hay lint automático que lo verifique</t>
  </si>
  <si>
    <t xml:space="preserve">I5</t>
  </si>
  <si>
    <t xml:space="preserve">Aplicar lanza si la acción es ilegal</t>
  </si>
  <si>
    <t xml:space="preserve">J · Reglas y documentación</t>
  </si>
  <si>
    <t xml:space="preserve">J1</t>
  </si>
  <si>
    <t xml:space="preserve">J</t>
  </si>
  <si>
    <t xml:space="preserve">RULES_Afinadas.md como fuente única de verdad</t>
  </si>
  <si>
    <t xml:space="preserve">docs/</t>
  </si>
  <si>
    <t xml:space="preserve">J2</t>
  </si>
  <si>
    <t xml:space="preserve">Todas las PREGUNTAS_ABIERTAS decididas (bloques A–G, B10)</t>
  </si>
  <si>
    <t xml:space="preserve">docs/PREGUNTAS_ABIERTAS.md</t>
  </si>
  <si>
    <t xml:space="preserve">J3</t>
  </si>
  <si>
    <t xml:space="preserve">Señas: reglas anotadas</t>
  </si>
  <si>
    <t xml:space="preserve">RULES §Señas</t>
  </si>
  <si>
    <t xml:space="preserve">Documentado, sin implementar</t>
  </si>
  <si>
    <t xml:space="preserve">Tarea de DOCUMENTACIÓN primero (todavía no de código). En docs/notas armá la tabla completa de señas: una seña (gesto) por cada carta del mazo. RULES_Afinadas.md §Señas dice que hay que documentar la tabla entera antes de implementarlas, y que hacen falta para el modo de a 4 y de a 6. Proponé la tabla, marcá claramente lo que sea convención tuya para que yo lo confirme, y NO implementes nada en /core todavía. No toques /game ni /server. Cuando la tabla esté cerrada y confirmada, recién ahí se planifica el paso de implementación.</t>
  </si>
  <si>
    <t xml:space="preserve">K · Verificación / CI</t>
  </si>
  <si>
    <t xml:space="preserve">K1</t>
  </si>
  <si>
    <t xml:space="preserve">K</t>
  </si>
  <si>
    <t xml:space="preserve">Suite xUnit en verde</t>
  </si>
  <si>
    <t xml:space="preserve">23 archivos / ~206 casos</t>
  </si>
  <si>
    <t xml:space="preserve">NO verificado ahora: falta el SDK de .NET en ambos entornos</t>
  </si>
  <si>
    <t xml:space="preserve">K2</t>
  </si>
  <si>
    <t xml:space="preserve">Pipeline de CI automatizado (GitHub Actions u otro)</t>
  </si>
  <si>
    <t xml:space="preserve">No hay pipeline en el repo</t>
  </si>
  <si>
    <t xml:space="preserve">Agregá integración continua al repo. Creá un workflow de GitHub Actions en .github/workflows/ que en cada push y pull request restaure, compile y corra dotnet test sobre la solución TrucoUruguayo.slnx con el SDK de .NET del proyecto, y que falle si algún test falla. No toques la lógica de /core ni /tests: esto es sólo andamiaje de CI. Mostrame el YAML antes de commitear. Commit en español imperativo, sin punto final ni coautoría.</t>
  </si>
  <si>
    <t xml:space="preserve">L · Fases futuras (por diseño)</t>
  </si>
  <si>
    <t xml:space="preserve">L1</t>
  </si>
  <si>
    <t xml:space="preserve">L</t>
  </si>
  <si>
    <t xml:space="preserve">/game — cliente en Unity 6 (dibujar estado + mandar acciones)</t>
  </si>
  <si>
    <t xml:space="preserve">game/.gitkeep</t>
  </si>
  <si>
    <t xml:space="preserve">Fase 4 · NO TOCAR</t>
  </si>
  <si>
    <t xml:space="preserve">L2</t>
  </si>
  <si>
    <t xml:space="preserve">/server — ASP.NET Core + SignalR (mismas acciones por red)</t>
  </si>
  <si>
    <t xml:space="preserve">server/.gitkeep</t>
  </si>
  <si>
    <t xml:space="preserve">Fase posterior</t>
  </si>
  <si>
    <t xml:space="preserve">L3</t>
  </si>
  <si>
    <t xml:space="preserve">Bot: función de AccionesLegales → Acción</t>
  </si>
  <si>
    <t xml:space="preserve">Habilitado por el reductor puro</t>
  </si>
  <si>
    <t xml:space="preserve">L4</t>
  </si>
  <si>
    <t xml:space="preserve">Grabación / reproducción de partidas</t>
  </si>
  <si>
    <t xml:space="preserve">Habilitado por el determinismo</t>
  </si>
  <si>
    <t xml:space="preserve">L5</t>
  </si>
  <si>
    <t xml:space="preserve">Publicación en Android, iOS y Steam</t>
  </si>
  <si>
    <t xml:space="preserve">Objetivo final del proyecto</t>
  </si>
  <si>
    <t xml:space="preserve">Resumen de estado</t>
  </si>
  <si>
    <t xml:space="preserve">Total requerimientos</t>
  </si>
  <si>
    <t xml:space="preserve">Leyenda</t>
  </si>
  <si>
    <t xml:space="preserve">Implementado y con test que lo cubre</t>
  </si>
  <si>
    <t xml:space="preserve">Empezado o documentado, falta cerrarlo</t>
  </si>
  <si>
    <t xml:space="preserve">Definido pero todavía sin implementar</t>
  </si>
  <si>
    <t xml:space="preserve">Planeado para más adelante, no se toca ahora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</si>
</sst>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8.5"/>
      <name val="Consolas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6DCE4"/>
        <bgColor rgb="FFD9E1F2"/>
      </patternFill>
    </fill>
    <fill>
      <patternFill patternType="solid">
        <fgColor rgb="FFC6EFCE"/>
        <bgColor rgb="FFD6DCE4"/>
      </patternFill>
    </fill>
    <fill>
      <patternFill patternType="solid">
        <fgColor rgb="FFFFC7CE"/>
        <bgColor rgb="FFD0D0D0"/>
      </patternFill>
    </fill>
    <fill>
      <patternFill patternType="solid">
        <fgColor rgb="FFFFF2CC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D9E1F2"/>
        <bgColor rgb="FFD6DC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DC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6DCE4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9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3.85" hidden="false" customHeight="false" outlineLevel="0" collapsed="false">
      <c r="A6" s="5" t="s">
        <v>10</v>
      </c>
      <c r="B6" s="6" t="s">
        <v>11</v>
      </c>
      <c r="C6" s="7" t="s">
        <v>12</v>
      </c>
      <c r="D6" s="8" t="s">
        <v>13</v>
      </c>
      <c r="E6" s="6" t="s">
        <v>14</v>
      </c>
      <c r="F6" s="7"/>
      <c r="G6" s="9"/>
    </row>
    <row r="7" customFormat="false" ht="15" hidden="false" customHeight="false" outlineLevel="0" collapsed="false">
      <c r="A7" s="5" t="s">
        <v>15</v>
      </c>
      <c r="B7" s="6" t="s">
        <v>11</v>
      </c>
      <c r="C7" s="7" t="s">
        <v>16</v>
      </c>
      <c r="D7" s="8" t="s">
        <v>13</v>
      </c>
      <c r="E7" s="6" t="s">
        <v>17</v>
      </c>
      <c r="F7" s="7"/>
      <c r="G7" s="9"/>
    </row>
    <row r="8" customFormat="false" ht="15" hidden="false" customHeight="false" outlineLevel="0" collapsed="false">
      <c r="A8" s="5" t="s">
        <v>18</v>
      </c>
      <c r="B8" s="6" t="s">
        <v>11</v>
      </c>
      <c r="C8" s="7" t="s">
        <v>19</v>
      </c>
      <c r="D8" s="8" t="s">
        <v>13</v>
      </c>
      <c r="E8" s="6" t="s">
        <v>20</v>
      </c>
      <c r="F8" s="7" t="s">
        <v>21</v>
      </c>
      <c r="G8" s="9"/>
    </row>
    <row r="9" customFormat="false" ht="15" hidden="false" customHeight="false" outlineLevel="0" collapsed="false">
      <c r="A9" s="5" t="s">
        <v>22</v>
      </c>
      <c r="B9" s="6" t="s">
        <v>11</v>
      </c>
      <c r="C9" s="7" t="s">
        <v>23</v>
      </c>
      <c r="D9" s="8" t="s">
        <v>13</v>
      </c>
      <c r="E9" s="6" t="s">
        <v>14</v>
      </c>
      <c r="F9" s="7"/>
      <c r="G9" s="9"/>
    </row>
    <row r="10" customFormat="false" ht="23.85" hidden="false" customHeight="false" outlineLevel="0" collapsed="false">
      <c r="A10" s="5" t="s">
        <v>24</v>
      </c>
      <c r="B10" s="6" t="s">
        <v>11</v>
      </c>
      <c r="C10" s="7" t="s">
        <v>25</v>
      </c>
      <c r="D10" s="8" t="s">
        <v>13</v>
      </c>
      <c r="E10" s="6" t="s">
        <v>14</v>
      </c>
      <c r="F10" s="7" t="s">
        <v>26</v>
      </c>
      <c r="G10" s="9"/>
    </row>
    <row r="11" customFormat="false" ht="15" hidden="false" customHeight="false" outlineLevel="0" collapsed="false">
      <c r="A11" s="5" t="s">
        <v>27</v>
      </c>
      <c r="B11" s="6" t="s">
        <v>11</v>
      </c>
      <c r="C11" s="7" t="s">
        <v>28</v>
      </c>
      <c r="D11" s="8" t="s">
        <v>13</v>
      </c>
      <c r="E11" s="6" t="s">
        <v>29</v>
      </c>
      <c r="F11" s="7" t="s">
        <v>30</v>
      </c>
      <c r="G11" s="9"/>
    </row>
    <row r="12" customFormat="false" ht="15" hidden="false" customHeight="false" outlineLevel="0" collapsed="false">
      <c r="A12" s="4" t="s">
        <v>31</v>
      </c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5" t="s">
        <v>32</v>
      </c>
      <c r="B13" s="6" t="s">
        <v>33</v>
      </c>
      <c r="C13" s="7" t="s">
        <v>34</v>
      </c>
      <c r="D13" s="8" t="s">
        <v>13</v>
      </c>
      <c r="E13" s="6" t="s">
        <v>35</v>
      </c>
      <c r="F13" s="7"/>
      <c r="G13" s="9"/>
    </row>
    <row r="14" customFormat="false" ht="15" hidden="false" customHeight="false" outlineLevel="0" collapsed="false">
      <c r="A14" s="5" t="s">
        <v>36</v>
      </c>
      <c r="B14" s="6" t="s">
        <v>33</v>
      </c>
      <c r="C14" s="7" t="s">
        <v>37</v>
      </c>
      <c r="D14" s="8" t="s">
        <v>13</v>
      </c>
      <c r="E14" s="6" t="s">
        <v>35</v>
      </c>
      <c r="F14" s="7"/>
      <c r="G14" s="9"/>
    </row>
    <row r="15" customFormat="false" ht="15" hidden="false" customHeight="false" outlineLevel="0" collapsed="false">
      <c r="A15" s="5" t="s">
        <v>38</v>
      </c>
      <c r="B15" s="6" t="s">
        <v>33</v>
      </c>
      <c r="C15" s="7" t="s">
        <v>39</v>
      </c>
      <c r="D15" s="8" t="s">
        <v>13</v>
      </c>
      <c r="E15" s="6" t="s">
        <v>40</v>
      </c>
      <c r="F15" s="7"/>
      <c r="G15" s="9"/>
    </row>
    <row r="16" customFormat="false" ht="15" hidden="false" customHeight="false" outlineLevel="0" collapsed="false">
      <c r="A16" s="5" t="s">
        <v>41</v>
      </c>
      <c r="B16" s="6" t="s">
        <v>33</v>
      </c>
      <c r="C16" s="7" t="s">
        <v>42</v>
      </c>
      <c r="D16" s="8" t="s">
        <v>13</v>
      </c>
      <c r="E16" s="6" t="s">
        <v>40</v>
      </c>
      <c r="F16" s="7"/>
      <c r="G16" s="9"/>
    </row>
    <row r="17" customFormat="false" ht="15" hidden="false" customHeight="false" outlineLevel="0" collapsed="false">
      <c r="A17" s="5" t="s">
        <v>43</v>
      </c>
      <c r="B17" s="6" t="s">
        <v>33</v>
      </c>
      <c r="C17" s="7" t="s">
        <v>44</v>
      </c>
      <c r="D17" s="8" t="s">
        <v>13</v>
      </c>
      <c r="E17" s="6" t="s">
        <v>45</v>
      </c>
      <c r="F17" s="7" t="s">
        <v>46</v>
      </c>
      <c r="G17" s="9"/>
    </row>
    <row r="18" customFormat="false" ht="15" hidden="false" customHeight="false" outlineLevel="0" collapsed="false">
      <c r="A18" s="5" t="s">
        <v>47</v>
      </c>
      <c r="B18" s="6" t="s">
        <v>33</v>
      </c>
      <c r="C18" s="7" t="s">
        <v>48</v>
      </c>
      <c r="D18" s="8" t="s">
        <v>13</v>
      </c>
      <c r="E18" s="6" t="s">
        <v>40</v>
      </c>
      <c r="F18" s="7"/>
      <c r="G18" s="9"/>
    </row>
    <row r="19" customFormat="false" ht="15" hidden="false" customHeight="false" outlineLevel="0" collapsed="false">
      <c r="A19" s="4" t="s">
        <v>49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5" t="s">
        <v>50</v>
      </c>
      <c r="B20" s="6" t="s">
        <v>51</v>
      </c>
      <c r="C20" s="7" t="s">
        <v>52</v>
      </c>
      <c r="D20" s="8" t="s">
        <v>13</v>
      </c>
      <c r="E20" s="6" t="s">
        <v>53</v>
      </c>
      <c r="F20" s="7"/>
      <c r="G20" s="9"/>
    </row>
    <row r="21" customFormat="false" ht="15" hidden="false" customHeight="false" outlineLevel="0" collapsed="false">
      <c r="A21" s="5" t="s">
        <v>54</v>
      </c>
      <c r="B21" s="6" t="s">
        <v>51</v>
      </c>
      <c r="C21" s="7" t="s">
        <v>55</v>
      </c>
      <c r="D21" s="8" t="s">
        <v>13</v>
      </c>
      <c r="E21" s="6" t="s">
        <v>56</v>
      </c>
      <c r="F21" s="7"/>
      <c r="G21" s="9"/>
    </row>
    <row r="22" customFormat="false" ht="15" hidden="false" customHeight="false" outlineLevel="0" collapsed="false">
      <c r="A22" s="5" t="s">
        <v>57</v>
      </c>
      <c r="B22" s="6" t="s">
        <v>51</v>
      </c>
      <c r="C22" s="7" t="s">
        <v>58</v>
      </c>
      <c r="D22" s="8" t="s">
        <v>13</v>
      </c>
      <c r="E22" s="6" t="s">
        <v>29</v>
      </c>
      <c r="F22" s="7" t="s">
        <v>59</v>
      </c>
      <c r="G22" s="9"/>
    </row>
    <row r="23" customFormat="false" ht="23.85" hidden="false" customHeight="false" outlineLevel="0" collapsed="false">
      <c r="A23" s="5" t="s">
        <v>60</v>
      </c>
      <c r="B23" s="6" t="s">
        <v>51</v>
      </c>
      <c r="C23" s="7" t="s">
        <v>61</v>
      </c>
      <c r="D23" s="8" t="s">
        <v>13</v>
      </c>
      <c r="E23" s="6" t="s">
        <v>62</v>
      </c>
      <c r="F23" s="7"/>
      <c r="G23" s="9"/>
    </row>
    <row r="24" customFormat="false" ht="15" hidden="false" customHeight="false" outlineLevel="0" collapsed="false">
      <c r="A24" s="4" t="s">
        <v>63</v>
      </c>
      <c r="B24" s="4"/>
      <c r="C24" s="4"/>
      <c r="D24" s="4"/>
      <c r="E24" s="4"/>
      <c r="F24" s="4"/>
      <c r="G24" s="4"/>
    </row>
    <row r="25" customFormat="false" ht="23.85" hidden="false" customHeight="false" outlineLevel="0" collapsed="false">
      <c r="A25" s="5" t="s">
        <v>64</v>
      </c>
      <c r="B25" s="6" t="s">
        <v>65</v>
      </c>
      <c r="C25" s="7" t="s">
        <v>66</v>
      </c>
      <c r="D25" s="8" t="s">
        <v>13</v>
      </c>
      <c r="E25" s="6" t="s">
        <v>67</v>
      </c>
      <c r="F25" s="7"/>
      <c r="G25" s="9"/>
    </row>
    <row r="26" customFormat="false" ht="15" hidden="false" customHeight="false" outlineLevel="0" collapsed="false">
      <c r="A26" s="5" t="s">
        <v>68</v>
      </c>
      <c r="B26" s="6" t="s">
        <v>65</v>
      </c>
      <c r="C26" s="7" t="s">
        <v>69</v>
      </c>
      <c r="D26" s="8" t="s">
        <v>13</v>
      </c>
      <c r="E26" s="6" t="s">
        <v>70</v>
      </c>
      <c r="F26" s="7" t="s">
        <v>71</v>
      </c>
      <c r="G26" s="9"/>
    </row>
    <row r="27" customFormat="false" ht="15" hidden="false" customHeight="false" outlineLevel="0" collapsed="false">
      <c r="A27" s="5" t="s">
        <v>72</v>
      </c>
      <c r="B27" s="6" t="s">
        <v>65</v>
      </c>
      <c r="C27" s="7" t="s">
        <v>73</v>
      </c>
      <c r="D27" s="8" t="s">
        <v>13</v>
      </c>
      <c r="E27" s="6" t="s">
        <v>70</v>
      </c>
      <c r="F27" s="7"/>
      <c r="G27" s="9"/>
    </row>
    <row r="28" customFormat="false" ht="15" hidden="false" customHeight="false" outlineLevel="0" collapsed="false">
      <c r="A28" s="5" t="s">
        <v>74</v>
      </c>
      <c r="B28" s="6" t="s">
        <v>65</v>
      </c>
      <c r="C28" s="7" t="s">
        <v>75</v>
      </c>
      <c r="D28" s="8" t="s">
        <v>13</v>
      </c>
      <c r="E28" s="6" t="s">
        <v>70</v>
      </c>
      <c r="F28" s="7" t="s">
        <v>76</v>
      </c>
      <c r="G28" s="9"/>
    </row>
    <row r="29" customFormat="false" ht="15" hidden="false" customHeight="false" outlineLevel="0" collapsed="false">
      <c r="A29" s="5" t="s">
        <v>77</v>
      </c>
      <c r="B29" s="6" t="s">
        <v>65</v>
      </c>
      <c r="C29" s="7" t="s">
        <v>78</v>
      </c>
      <c r="D29" s="8" t="s">
        <v>13</v>
      </c>
      <c r="E29" s="6" t="s">
        <v>70</v>
      </c>
      <c r="F29" s="7" t="s">
        <v>79</v>
      </c>
      <c r="G29" s="9"/>
    </row>
    <row r="30" customFormat="false" ht="15" hidden="false" customHeight="false" outlineLevel="0" collapsed="false">
      <c r="A30" s="5" t="s">
        <v>80</v>
      </c>
      <c r="B30" s="6" t="s">
        <v>65</v>
      </c>
      <c r="C30" s="7" t="s">
        <v>81</v>
      </c>
      <c r="D30" s="8" t="s">
        <v>13</v>
      </c>
      <c r="E30" s="6" t="s">
        <v>70</v>
      </c>
      <c r="F30" s="7" t="s">
        <v>82</v>
      </c>
      <c r="G30" s="9"/>
    </row>
    <row r="31" customFormat="false" ht="15" hidden="false" customHeight="false" outlineLevel="0" collapsed="false">
      <c r="A31" s="4" t="s">
        <v>83</v>
      </c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5" t="s">
        <v>84</v>
      </c>
      <c r="B32" s="6" t="s">
        <v>85</v>
      </c>
      <c r="C32" s="7" t="s">
        <v>86</v>
      </c>
      <c r="D32" s="8" t="s">
        <v>13</v>
      </c>
      <c r="E32" s="6" t="s">
        <v>87</v>
      </c>
      <c r="F32" s="7"/>
      <c r="G32" s="9"/>
    </row>
    <row r="33" customFormat="false" ht="15" hidden="false" customHeight="false" outlineLevel="0" collapsed="false">
      <c r="A33" s="5" t="s">
        <v>88</v>
      </c>
      <c r="B33" s="6" t="s">
        <v>85</v>
      </c>
      <c r="C33" s="7" t="s">
        <v>89</v>
      </c>
      <c r="D33" s="8" t="s">
        <v>13</v>
      </c>
      <c r="E33" s="6" t="s">
        <v>87</v>
      </c>
      <c r="F33" s="7" t="s">
        <v>90</v>
      </c>
      <c r="G33" s="9"/>
    </row>
    <row r="34" customFormat="false" ht="23.85" hidden="false" customHeight="false" outlineLevel="0" collapsed="false">
      <c r="A34" s="5" t="s">
        <v>91</v>
      </c>
      <c r="B34" s="6" t="s">
        <v>85</v>
      </c>
      <c r="C34" s="7" t="s">
        <v>92</v>
      </c>
      <c r="D34" s="8" t="s">
        <v>13</v>
      </c>
      <c r="E34" s="6" t="s">
        <v>93</v>
      </c>
      <c r="F34" s="7" t="s">
        <v>94</v>
      </c>
      <c r="G34" s="9"/>
    </row>
    <row r="35" customFormat="false" ht="15" hidden="false" customHeight="false" outlineLevel="0" collapsed="false">
      <c r="A35" s="5" t="s">
        <v>95</v>
      </c>
      <c r="B35" s="6" t="s">
        <v>85</v>
      </c>
      <c r="C35" s="7" t="s">
        <v>96</v>
      </c>
      <c r="D35" s="8" t="s">
        <v>13</v>
      </c>
      <c r="E35" s="6" t="s">
        <v>97</v>
      </c>
      <c r="F35" s="7" t="s">
        <v>98</v>
      </c>
      <c r="G35" s="9"/>
    </row>
    <row r="36" customFormat="false" ht="15" hidden="false" customHeight="false" outlineLevel="0" collapsed="false">
      <c r="A36" s="5" t="s">
        <v>99</v>
      </c>
      <c r="B36" s="6" t="s">
        <v>85</v>
      </c>
      <c r="C36" s="7" t="s">
        <v>100</v>
      </c>
      <c r="D36" s="8" t="s">
        <v>13</v>
      </c>
      <c r="E36" s="6" t="s">
        <v>97</v>
      </c>
      <c r="F36" s="7" t="s">
        <v>101</v>
      </c>
      <c r="G36" s="9"/>
    </row>
    <row r="37" customFormat="false" ht="15" hidden="false" customHeight="false" outlineLevel="0" collapsed="false">
      <c r="A37" s="5" t="s">
        <v>102</v>
      </c>
      <c r="B37" s="6" t="s">
        <v>85</v>
      </c>
      <c r="C37" s="7" t="s">
        <v>103</v>
      </c>
      <c r="D37" s="8" t="s">
        <v>13</v>
      </c>
      <c r="E37" s="6" t="s">
        <v>104</v>
      </c>
      <c r="F37" s="7" t="s">
        <v>105</v>
      </c>
      <c r="G37" s="9"/>
    </row>
    <row r="38" customFormat="false" ht="15" hidden="false" customHeight="false" outlineLevel="0" collapsed="false">
      <c r="A38" s="5" t="s">
        <v>106</v>
      </c>
      <c r="B38" s="6" t="s">
        <v>85</v>
      </c>
      <c r="C38" s="7" t="s">
        <v>107</v>
      </c>
      <c r="D38" s="8" t="s">
        <v>13</v>
      </c>
      <c r="E38" s="6" t="s">
        <v>108</v>
      </c>
      <c r="F38" s="7"/>
      <c r="G38" s="9"/>
    </row>
    <row r="39" customFormat="false" ht="15" hidden="false" customHeight="false" outlineLevel="0" collapsed="false">
      <c r="A39" s="5" t="s">
        <v>109</v>
      </c>
      <c r="B39" s="6" t="s">
        <v>85</v>
      </c>
      <c r="C39" s="7" t="s">
        <v>110</v>
      </c>
      <c r="D39" s="8" t="s">
        <v>13</v>
      </c>
      <c r="E39" s="6" t="s">
        <v>111</v>
      </c>
      <c r="F39" s="7" t="s">
        <v>112</v>
      </c>
      <c r="G39" s="9"/>
    </row>
    <row r="40" customFormat="false" ht="15" hidden="false" customHeight="false" outlineLevel="0" collapsed="false">
      <c r="A40" s="4" t="s">
        <v>113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5" t="s">
        <v>114</v>
      </c>
      <c r="B41" s="6" t="s">
        <v>115</v>
      </c>
      <c r="C41" s="7" t="s">
        <v>116</v>
      </c>
      <c r="D41" s="8" t="s">
        <v>13</v>
      </c>
      <c r="E41" s="6" t="s">
        <v>117</v>
      </c>
      <c r="F41" s="7"/>
      <c r="G41" s="9"/>
    </row>
    <row r="42" customFormat="false" ht="15" hidden="false" customHeight="false" outlineLevel="0" collapsed="false">
      <c r="A42" s="5" t="s">
        <v>118</v>
      </c>
      <c r="B42" s="6" t="s">
        <v>115</v>
      </c>
      <c r="C42" s="7" t="s">
        <v>119</v>
      </c>
      <c r="D42" s="8" t="s">
        <v>13</v>
      </c>
      <c r="E42" s="6" t="s">
        <v>117</v>
      </c>
      <c r="F42" s="7"/>
      <c r="G42" s="9"/>
    </row>
    <row r="43" customFormat="false" ht="15" hidden="false" customHeight="false" outlineLevel="0" collapsed="false">
      <c r="A43" s="5" t="s">
        <v>120</v>
      </c>
      <c r="B43" s="6" t="s">
        <v>115</v>
      </c>
      <c r="C43" s="7" t="s">
        <v>121</v>
      </c>
      <c r="D43" s="8" t="s">
        <v>13</v>
      </c>
      <c r="E43" s="6" t="s">
        <v>70</v>
      </c>
      <c r="F43" s="7" t="s">
        <v>122</v>
      </c>
      <c r="G43" s="9"/>
    </row>
    <row r="44" customFormat="false" ht="15" hidden="false" customHeight="false" outlineLevel="0" collapsed="false">
      <c r="A44" s="5" t="s">
        <v>123</v>
      </c>
      <c r="B44" s="6" t="s">
        <v>115</v>
      </c>
      <c r="C44" s="7" t="s">
        <v>124</v>
      </c>
      <c r="D44" s="8" t="s">
        <v>13</v>
      </c>
      <c r="E44" s="6" t="s">
        <v>117</v>
      </c>
      <c r="F44" s="7"/>
      <c r="G44" s="9"/>
    </row>
    <row r="45" customFormat="false" ht="15" hidden="false" customHeight="false" outlineLevel="0" collapsed="false">
      <c r="A45" s="4" t="s">
        <v>125</v>
      </c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5" t="s">
        <v>126</v>
      </c>
      <c r="B46" s="6" t="s">
        <v>127</v>
      </c>
      <c r="C46" s="7" t="s">
        <v>128</v>
      </c>
      <c r="D46" s="8" t="s">
        <v>13</v>
      </c>
      <c r="E46" s="6" t="s">
        <v>129</v>
      </c>
      <c r="F46" s="7"/>
      <c r="G46" s="9"/>
    </row>
    <row r="47" customFormat="false" ht="15" hidden="false" customHeight="false" outlineLevel="0" collapsed="false">
      <c r="A47" s="5" t="s">
        <v>130</v>
      </c>
      <c r="B47" s="6" t="s">
        <v>127</v>
      </c>
      <c r="C47" s="7" t="s">
        <v>131</v>
      </c>
      <c r="D47" s="8" t="s">
        <v>13</v>
      </c>
      <c r="E47" s="6" t="s">
        <v>129</v>
      </c>
      <c r="F47" s="7"/>
      <c r="G47" s="9"/>
    </row>
    <row r="48" customFormat="false" ht="15" hidden="false" customHeight="false" outlineLevel="0" collapsed="false">
      <c r="A48" s="5" t="s">
        <v>132</v>
      </c>
      <c r="B48" s="6" t="s">
        <v>127</v>
      </c>
      <c r="C48" s="7" t="s">
        <v>133</v>
      </c>
      <c r="D48" s="8" t="s">
        <v>13</v>
      </c>
      <c r="E48" s="6" t="s">
        <v>129</v>
      </c>
      <c r="F48" s="7" t="s">
        <v>134</v>
      </c>
      <c r="G48" s="9"/>
    </row>
    <row r="49" customFormat="false" ht="15" hidden="false" customHeight="false" outlineLevel="0" collapsed="false">
      <c r="A49" s="4" t="s">
        <v>135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5" t="s">
        <v>136</v>
      </c>
      <c r="B50" s="6" t="s">
        <v>137</v>
      </c>
      <c r="C50" s="7" t="s">
        <v>138</v>
      </c>
      <c r="D50" s="8" t="s">
        <v>13</v>
      </c>
      <c r="E50" s="6" t="s">
        <v>29</v>
      </c>
      <c r="F50" s="7"/>
      <c r="G50" s="9"/>
    </row>
    <row r="51" customFormat="false" ht="15" hidden="false" customHeight="false" outlineLevel="0" collapsed="false">
      <c r="A51" s="5" t="s">
        <v>139</v>
      </c>
      <c r="B51" s="6" t="s">
        <v>137</v>
      </c>
      <c r="C51" s="7" t="s">
        <v>140</v>
      </c>
      <c r="D51" s="8" t="s">
        <v>13</v>
      </c>
      <c r="E51" s="6" t="s">
        <v>141</v>
      </c>
      <c r="F51" s="7"/>
      <c r="G51" s="9"/>
    </row>
    <row r="52" customFormat="false" ht="15" hidden="false" customHeight="false" outlineLevel="0" collapsed="false">
      <c r="A52" s="5" t="s">
        <v>142</v>
      </c>
      <c r="B52" s="6" t="s">
        <v>137</v>
      </c>
      <c r="C52" s="7" t="s">
        <v>143</v>
      </c>
      <c r="D52" s="8" t="s">
        <v>13</v>
      </c>
      <c r="E52" s="6" t="s">
        <v>144</v>
      </c>
      <c r="F52" s="7"/>
      <c r="G52" s="9"/>
    </row>
    <row r="53" customFormat="false" ht="15" hidden="false" customHeight="false" outlineLevel="0" collapsed="false">
      <c r="A53" s="5" t="s">
        <v>145</v>
      </c>
      <c r="B53" s="6" t="s">
        <v>137</v>
      </c>
      <c r="C53" s="7" t="s">
        <v>146</v>
      </c>
      <c r="D53" s="8" t="s">
        <v>13</v>
      </c>
      <c r="E53" s="6" t="s">
        <v>147</v>
      </c>
      <c r="F53" s="7" t="s">
        <v>148</v>
      </c>
      <c r="G53" s="9"/>
    </row>
    <row r="54" customFormat="false" ht="15" hidden="false" customHeight="false" outlineLevel="0" collapsed="false">
      <c r="A54" s="5" t="s">
        <v>149</v>
      </c>
      <c r="B54" s="6" t="s">
        <v>137</v>
      </c>
      <c r="C54" s="7" t="s">
        <v>150</v>
      </c>
      <c r="D54" s="8" t="s">
        <v>13</v>
      </c>
      <c r="E54" s="6" t="s">
        <v>151</v>
      </c>
      <c r="F54" s="7" t="s">
        <v>152</v>
      </c>
      <c r="G54" s="9"/>
    </row>
    <row r="55" customFormat="false" ht="150" hidden="false" customHeight="true" outlineLevel="0" collapsed="false">
      <c r="A55" s="5" t="s">
        <v>153</v>
      </c>
      <c r="B55" s="6" t="s">
        <v>137</v>
      </c>
      <c r="C55" s="7" t="s">
        <v>154</v>
      </c>
      <c r="D55" s="10" t="s">
        <v>155</v>
      </c>
      <c r="E55" s="6" t="s">
        <v>156</v>
      </c>
      <c r="F55" s="7" t="s">
        <v>157</v>
      </c>
      <c r="G55" s="11" t="s">
        <v>158</v>
      </c>
    </row>
    <row r="56" customFormat="false" ht="150" hidden="false" customHeight="true" outlineLevel="0" collapsed="false">
      <c r="A56" s="5" t="s">
        <v>159</v>
      </c>
      <c r="B56" s="6" t="s">
        <v>137</v>
      </c>
      <c r="C56" s="7" t="s">
        <v>160</v>
      </c>
      <c r="D56" s="10" t="s">
        <v>155</v>
      </c>
      <c r="E56" s="6" t="s">
        <v>156</v>
      </c>
      <c r="F56" s="7" t="s">
        <v>161</v>
      </c>
      <c r="G56" s="11" t="s">
        <v>162</v>
      </c>
    </row>
    <row r="57" customFormat="false" ht="150" hidden="false" customHeight="true" outlineLevel="0" collapsed="false">
      <c r="A57" s="5" t="s">
        <v>163</v>
      </c>
      <c r="B57" s="6" t="s">
        <v>137</v>
      </c>
      <c r="C57" s="7" t="s">
        <v>164</v>
      </c>
      <c r="D57" s="12" t="s">
        <v>165</v>
      </c>
      <c r="E57" s="6" t="s">
        <v>151</v>
      </c>
      <c r="F57" s="7" t="s">
        <v>166</v>
      </c>
      <c r="G57" s="11" t="s">
        <v>167</v>
      </c>
    </row>
    <row r="58" customFormat="false" ht="23.85" hidden="false" customHeight="false" outlineLevel="0" collapsed="false">
      <c r="A58" s="5" t="s">
        <v>168</v>
      </c>
      <c r="B58" s="6" t="s">
        <v>137</v>
      </c>
      <c r="C58" s="7" t="s">
        <v>169</v>
      </c>
      <c r="D58" s="13" t="s">
        <v>170</v>
      </c>
      <c r="E58" s="6" t="s">
        <v>156</v>
      </c>
      <c r="F58" s="7" t="s">
        <v>171</v>
      </c>
      <c r="G58" s="9"/>
    </row>
    <row r="59" customFormat="false" ht="15" hidden="false" customHeight="false" outlineLevel="0" collapsed="false">
      <c r="A59" s="4" t="s">
        <v>172</v>
      </c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5" t="s">
        <v>173</v>
      </c>
      <c r="B60" s="6" t="s">
        <v>174</v>
      </c>
      <c r="C60" s="7" t="s">
        <v>175</v>
      </c>
      <c r="D60" s="8" t="s">
        <v>13</v>
      </c>
      <c r="E60" s="6" t="s">
        <v>29</v>
      </c>
      <c r="F60" s="7"/>
      <c r="G60" s="9"/>
    </row>
    <row r="61" customFormat="false" ht="15" hidden="false" customHeight="false" outlineLevel="0" collapsed="false">
      <c r="A61" s="5" t="s">
        <v>176</v>
      </c>
      <c r="B61" s="6" t="s">
        <v>174</v>
      </c>
      <c r="C61" s="7" t="s">
        <v>177</v>
      </c>
      <c r="D61" s="8" t="s">
        <v>13</v>
      </c>
      <c r="E61" s="6" t="s">
        <v>178</v>
      </c>
      <c r="F61" s="7"/>
      <c r="G61" s="9"/>
    </row>
    <row r="62" customFormat="false" ht="15" hidden="false" customHeight="false" outlineLevel="0" collapsed="false">
      <c r="A62" s="5" t="s">
        <v>179</v>
      </c>
      <c r="B62" s="6" t="s">
        <v>174</v>
      </c>
      <c r="C62" s="7" t="s">
        <v>180</v>
      </c>
      <c r="D62" s="8" t="s">
        <v>13</v>
      </c>
      <c r="E62" s="6" t="s">
        <v>181</v>
      </c>
      <c r="F62" s="7"/>
      <c r="G62" s="9"/>
    </row>
    <row r="63" customFormat="false" ht="23.85" hidden="false" customHeight="false" outlineLevel="0" collapsed="false">
      <c r="A63" s="5" t="s">
        <v>182</v>
      </c>
      <c r="B63" s="6" t="s">
        <v>174</v>
      </c>
      <c r="C63" s="7" t="s">
        <v>183</v>
      </c>
      <c r="D63" s="8" t="s">
        <v>13</v>
      </c>
      <c r="E63" s="6" t="s">
        <v>184</v>
      </c>
      <c r="F63" s="7" t="s">
        <v>185</v>
      </c>
      <c r="G63" s="9"/>
    </row>
    <row r="64" customFormat="false" ht="15" hidden="false" customHeight="false" outlineLevel="0" collapsed="false">
      <c r="A64" s="5" t="s">
        <v>186</v>
      </c>
      <c r="B64" s="6" t="s">
        <v>174</v>
      </c>
      <c r="C64" s="7" t="s">
        <v>187</v>
      </c>
      <c r="D64" s="8" t="s">
        <v>13</v>
      </c>
      <c r="E64" s="6" t="s">
        <v>29</v>
      </c>
      <c r="F64" s="7"/>
      <c r="G64" s="9"/>
    </row>
    <row r="65" customFormat="false" ht="15" hidden="false" customHeight="false" outlineLevel="0" collapsed="false">
      <c r="A65" s="4" t="s">
        <v>188</v>
      </c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5" t="s">
        <v>189</v>
      </c>
      <c r="B66" s="6" t="s">
        <v>190</v>
      </c>
      <c r="C66" s="7" t="s">
        <v>191</v>
      </c>
      <c r="D66" s="8" t="s">
        <v>13</v>
      </c>
      <c r="E66" s="6" t="s">
        <v>192</v>
      </c>
      <c r="F66" s="7"/>
      <c r="G66" s="9"/>
    </row>
    <row r="67" customFormat="false" ht="23.85" hidden="false" customHeight="false" outlineLevel="0" collapsed="false">
      <c r="A67" s="5" t="s">
        <v>193</v>
      </c>
      <c r="B67" s="6" t="s">
        <v>190</v>
      </c>
      <c r="C67" s="7" t="s">
        <v>194</v>
      </c>
      <c r="D67" s="8" t="s">
        <v>13</v>
      </c>
      <c r="E67" s="6" t="s">
        <v>195</v>
      </c>
      <c r="F67" s="7"/>
      <c r="G67" s="9"/>
    </row>
    <row r="68" customFormat="false" ht="150" hidden="false" customHeight="true" outlineLevel="0" collapsed="false">
      <c r="A68" s="5" t="s">
        <v>196</v>
      </c>
      <c r="B68" s="6" t="s">
        <v>190</v>
      </c>
      <c r="C68" s="7" t="s">
        <v>197</v>
      </c>
      <c r="D68" s="12" t="s">
        <v>165</v>
      </c>
      <c r="E68" s="6" t="s">
        <v>198</v>
      </c>
      <c r="F68" s="7" t="s">
        <v>199</v>
      </c>
      <c r="G68" s="11" t="s">
        <v>200</v>
      </c>
    </row>
    <row r="69" customFormat="false" ht="15" hidden="false" customHeight="false" outlineLevel="0" collapsed="false">
      <c r="A69" s="4" t="s">
        <v>201</v>
      </c>
      <c r="B69" s="4"/>
      <c r="C69" s="4"/>
      <c r="D69" s="4"/>
      <c r="E69" s="4"/>
      <c r="F69" s="4"/>
      <c r="G69" s="4"/>
    </row>
    <row r="70" customFormat="false" ht="23.85" hidden="false" customHeight="false" outlineLevel="0" collapsed="false">
      <c r="A70" s="5" t="s">
        <v>202</v>
      </c>
      <c r="B70" s="6" t="s">
        <v>203</v>
      </c>
      <c r="C70" s="7" t="s">
        <v>204</v>
      </c>
      <c r="D70" s="12" t="s">
        <v>165</v>
      </c>
      <c r="E70" s="6" t="s">
        <v>205</v>
      </c>
      <c r="F70" s="7" t="s">
        <v>206</v>
      </c>
      <c r="G70" s="9"/>
    </row>
    <row r="71" customFormat="false" ht="150" hidden="false" customHeight="true" outlineLevel="0" collapsed="false">
      <c r="A71" s="5" t="s">
        <v>207</v>
      </c>
      <c r="B71" s="6" t="s">
        <v>203</v>
      </c>
      <c r="C71" s="7" t="s">
        <v>208</v>
      </c>
      <c r="D71" s="10" t="s">
        <v>155</v>
      </c>
      <c r="E71" s="6" t="s">
        <v>156</v>
      </c>
      <c r="F71" s="7" t="s">
        <v>209</v>
      </c>
      <c r="G71" s="11" t="s">
        <v>210</v>
      </c>
    </row>
    <row r="72" customFormat="false" ht="15" hidden="false" customHeight="false" outlineLevel="0" collapsed="false">
      <c r="A72" s="4" t="s">
        <v>211</v>
      </c>
      <c r="B72" s="4"/>
      <c r="C72" s="4"/>
      <c r="D72" s="4"/>
      <c r="E72" s="4"/>
      <c r="F72" s="4"/>
      <c r="G72" s="4"/>
    </row>
    <row r="73" customFormat="false" ht="15" hidden="false" customHeight="false" outlineLevel="0" collapsed="false">
      <c r="A73" s="5" t="s">
        <v>212</v>
      </c>
      <c r="B73" s="6" t="s">
        <v>213</v>
      </c>
      <c r="C73" s="7" t="s">
        <v>214</v>
      </c>
      <c r="D73" s="13" t="s">
        <v>170</v>
      </c>
      <c r="E73" s="6" t="s">
        <v>215</v>
      </c>
      <c r="F73" s="7" t="s">
        <v>216</v>
      </c>
      <c r="G73" s="9"/>
    </row>
    <row r="74" customFormat="false" ht="15" hidden="false" customHeight="false" outlineLevel="0" collapsed="false">
      <c r="A74" s="5" t="s">
        <v>217</v>
      </c>
      <c r="B74" s="6" t="s">
        <v>213</v>
      </c>
      <c r="C74" s="7" t="s">
        <v>218</v>
      </c>
      <c r="D74" s="13" t="s">
        <v>170</v>
      </c>
      <c r="E74" s="6" t="s">
        <v>219</v>
      </c>
      <c r="F74" s="7" t="s">
        <v>220</v>
      </c>
      <c r="G74" s="9"/>
    </row>
    <row r="75" customFormat="false" ht="15" hidden="false" customHeight="false" outlineLevel="0" collapsed="false">
      <c r="A75" s="5" t="s">
        <v>221</v>
      </c>
      <c r="B75" s="6" t="s">
        <v>213</v>
      </c>
      <c r="C75" s="7" t="s">
        <v>222</v>
      </c>
      <c r="D75" s="13" t="s">
        <v>170</v>
      </c>
      <c r="E75" s="6" t="s">
        <v>156</v>
      </c>
      <c r="F75" s="7" t="s">
        <v>223</v>
      </c>
      <c r="G75" s="9"/>
    </row>
    <row r="76" customFormat="false" ht="15" hidden="false" customHeight="false" outlineLevel="0" collapsed="false">
      <c r="A76" s="5" t="s">
        <v>224</v>
      </c>
      <c r="B76" s="6" t="s">
        <v>213</v>
      </c>
      <c r="C76" s="7" t="s">
        <v>225</v>
      </c>
      <c r="D76" s="13" t="s">
        <v>170</v>
      </c>
      <c r="E76" s="6" t="s">
        <v>156</v>
      </c>
      <c r="F76" s="7" t="s">
        <v>226</v>
      </c>
      <c r="G76" s="9"/>
    </row>
    <row r="77" customFormat="false" ht="15" hidden="false" customHeight="false" outlineLevel="0" collapsed="false">
      <c r="A77" s="5" t="s">
        <v>227</v>
      </c>
      <c r="B77" s="6" t="s">
        <v>213</v>
      </c>
      <c r="C77" s="7" t="s">
        <v>228</v>
      </c>
      <c r="D77" s="13" t="s">
        <v>170</v>
      </c>
      <c r="E77" s="6" t="s">
        <v>156</v>
      </c>
      <c r="F77" s="7" t="s">
        <v>229</v>
      </c>
      <c r="G77" s="9"/>
    </row>
  </sheetData>
  <autoFilter ref="A4:G77"/>
  <mergeCells count="14">
    <mergeCell ref="A1:G1"/>
    <mergeCell ref="A2:G2"/>
    <mergeCell ref="A5:G5"/>
    <mergeCell ref="A12:G12"/>
    <mergeCell ref="A19:G19"/>
    <mergeCell ref="A24:G24"/>
    <mergeCell ref="A31:G31"/>
    <mergeCell ref="A40:G40"/>
    <mergeCell ref="A45:G45"/>
    <mergeCell ref="A49:G49"/>
    <mergeCell ref="A59:G59"/>
    <mergeCell ref="A65:G65"/>
    <mergeCell ref="A69:G69"/>
    <mergeCell ref="A72:G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4" t="s">
        <v>230</v>
      </c>
      <c r="B1" s="14"/>
      <c r="C1" s="14"/>
    </row>
    <row r="3" customFormat="false" ht="15" hidden="false" customHeight="false" outlineLevel="0" collapsed="false">
      <c r="A3" s="15" t="s">
        <v>5</v>
      </c>
      <c r="B3" s="15"/>
      <c r="C3" s="15"/>
    </row>
    <row r="4" customFormat="false" ht="15" hidden="false" customHeight="false" outlineLevel="0" collapsed="false">
      <c r="A4" s="16" t="s">
        <v>13</v>
      </c>
      <c r="B4" s="17" t="n">
        <f aca="false">COUNTIF(Requerimientos!$D$5:$D$77,A4)</f>
        <v>49</v>
      </c>
      <c r="C4" s="18" t="n">
        <f aca="false">IFERROR(B4/$B$8,0)</f>
        <v>0.80327868852459</v>
      </c>
    </row>
    <row r="5" customFormat="false" ht="15" hidden="false" customHeight="false" outlineLevel="0" collapsed="false">
      <c r="A5" s="19" t="s">
        <v>165</v>
      </c>
      <c r="B5" s="17" t="n">
        <f aca="false">COUNTIF(Requerimientos!$D$5:$D$77,A5)</f>
        <v>3</v>
      </c>
      <c r="C5" s="18" t="n">
        <f aca="false">IFERROR(B5/$B$8,0)</f>
        <v>0.0491803278688525</v>
      </c>
    </row>
    <row r="6" customFormat="false" ht="15" hidden="false" customHeight="false" outlineLevel="0" collapsed="false">
      <c r="A6" s="20" t="s">
        <v>155</v>
      </c>
      <c r="B6" s="17" t="n">
        <f aca="false">COUNTIF(Requerimientos!$D$5:$D$77,A6)</f>
        <v>3</v>
      </c>
      <c r="C6" s="18" t="n">
        <f aca="false">IFERROR(B6/$B$8,0)</f>
        <v>0.0491803278688525</v>
      </c>
    </row>
    <row r="7" customFormat="false" ht="15" hidden="false" customHeight="false" outlineLevel="0" collapsed="false">
      <c r="A7" s="21" t="s">
        <v>170</v>
      </c>
      <c r="B7" s="17" t="n">
        <f aca="false">COUNTIF(Requerimientos!$D$5:$D$77,A7)</f>
        <v>6</v>
      </c>
      <c r="C7" s="18" t="n">
        <f aca="false">IFERROR(B7/$B$8,0)</f>
        <v>0.0983606557377049</v>
      </c>
    </row>
    <row r="8" customFormat="false" ht="15" hidden="false" customHeight="false" outlineLevel="0" collapsed="false">
      <c r="A8" s="22" t="s">
        <v>231</v>
      </c>
      <c r="B8" s="23" t="n">
        <f aca="false">SUM(B4:B7)</f>
        <v>61</v>
      </c>
      <c r="C8" s="17"/>
    </row>
    <row r="11" customFormat="false" ht="15" hidden="false" customHeight="false" outlineLevel="0" collapsed="false">
      <c r="A11" s="24" t="s">
        <v>232</v>
      </c>
    </row>
    <row r="12" customFormat="false" ht="15" hidden="false" customHeight="false" outlineLevel="0" collapsed="false">
      <c r="A12" s="25" t="s">
        <v>13</v>
      </c>
      <c r="B12" s="26" t="s">
        <v>233</v>
      </c>
      <c r="C12" s="26"/>
    </row>
    <row r="13" customFormat="false" ht="15" hidden="false" customHeight="false" outlineLevel="0" collapsed="false">
      <c r="A13" s="27" t="s">
        <v>165</v>
      </c>
      <c r="B13" s="26" t="s">
        <v>234</v>
      </c>
      <c r="C13" s="26"/>
    </row>
    <row r="14" customFormat="false" ht="15" hidden="false" customHeight="false" outlineLevel="0" collapsed="false">
      <c r="A14" s="28" t="s">
        <v>155</v>
      </c>
      <c r="B14" s="26" t="s">
        <v>235</v>
      </c>
      <c r="C14" s="26"/>
    </row>
    <row r="15" customFormat="false" ht="15" hidden="false" customHeight="false" outlineLevel="0" collapsed="false">
      <c r="A15" s="29" t="s">
        <v>170</v>
      </c>
      <c r="B15" s="26" t="s">
        <v>236</v>
      </c>
      <c r="C15" s="26"/>
    </row>
  </sheetData>
  <mergeCells count="5">
    <mergeCell ref="A1:C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2026-08-28T12:42:36Z</dcterms:created>
  <dc:creator>openpyxl</dc:creator>
  <dc:description/>
  <dc:language>en-US</dc:language>
  <cp:lastModifiedBy/>
  <dcterms:modified xsi:type="dcterms:W3CDTF">2026-08-28T12:42:36Z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